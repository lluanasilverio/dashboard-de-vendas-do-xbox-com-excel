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E3B48F23-1F63-4CF2-BDE5-F34BC25584FE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SegmentaçãodeDados_Subscription_Type1">#N/A</definedName>
  </definedNames>
  <calcPr calcId="191028"/>
  <pivotCaches>
    <pivotCache cacheId="33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4" l="1"/>
  <c r="X30" i="4"/>
  <c r="X21" i="4"/>
  <c r="E7" i="4"/>
  <c r="C8" i="3"/>
  <c r="E29" i="3"/>
</calcChain>
</file>

<file path=xl/sharedStrings.xml><?xml version="1.0" encoding="utf-8"?>
<sst xmlns="http://schemas.openxmlformats.org/spreadsheetml/2006/main" count="2037" uniqueCount="323">
  <si>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</si>
  <si>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</si>
  <si>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</si>
  <si>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</si>
  <si>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</si>
  <si>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</si>
  <si>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</si>
  <si>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</si>
  <si>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</si>
  <si>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</si>
  <si>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</si>
  <si>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</si>
  <si>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</si>
  <si>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</si>
  <si>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</si>
  <si>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</si>
  <si>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</si>
  <si>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</si>
  <si>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</si>
  <si>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</si>
  <si>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</si>
  <si>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</si>
  <si>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</si>
  <si>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</si>
  <si>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</si>
  <si>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</si>
  <si>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</si>
  <si>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</si>
  <si>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</si>
  <si>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</si>
  <si>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</si>
  <si>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</si>
  <si>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</si>
  <si>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</si>
  <si>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</si>
  <si>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</si>
  <si>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</si>
  <si>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</si>
  <si>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</si>
  <si>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</si>
  <si>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</si>
  <si>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</si>
  <si>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</si>
  <si>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</si>
  <si>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</si>
  <si>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</si>
  <si>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</si>
  <si>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</si>
  <si>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</si>
  <si>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</si>
  <si>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</si>
  <si>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</si>
  <si>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</si>
  <si>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</si>
  <si>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</si>
  <si>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</si>
  <si>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</si>
  <si>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</si>
  <si>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</si>
  <si>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</si>
  <si>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</si>
  <si>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</si>
  <si>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</si>
  <si>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</si>
  <si>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</si>
  <si>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</si>
  <si>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</si>
  <si>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</si>
  <si>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</si>
  <si>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</si>
  <si>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</si>
  <si>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</si>
  <si>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</si>
  <si>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</si>
  <si>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</si>
  <si>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</si>
  <si>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</si>
  <si>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</si>
  <si>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</si>
  <si>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</si>
  <si>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</si>
  <si>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</si>
  <si>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</si>
  <si>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</si>
  <si>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</si>
  <si>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</si>
  <si>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</si>
  <si>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</si>
  <si>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</si>
  <si>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</si>
  <si>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</si>
  <si>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</si>
  <si>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</si>
  <si>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</si>
  <si>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</si>
  <si>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</si>
  <si>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</si>
  <si>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</si>
  <si>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</si>
  <si>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</si>
  <si>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</si>
  <si>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</si>
  <si>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</si>
  <si>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</si>
  <si>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</si>
  <si>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</si>
  <si>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</si>
  <si>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</si>
  <si>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</si>
  <si>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</si>
  <si>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</si>
  <si>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</si>
  <si>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</si>
  <si>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</si>
  <si>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</si>
  <si>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</si>
  <si>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</si>
  <si>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</si>
  <si>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</si>
  <si>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</si>
  <si>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</si>
  <si>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</si>
  <si>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</si>
  <si>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</si>
  <si>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</si>
  <si>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</si>
  <si>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</si>
  <si>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</si>
  <si>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</si>
  <si>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</si>
  <si>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</si>
  <si>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</si>
  <si>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</si>
  <si>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</si>
  <si>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</si>
  <si>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</si>
  <si>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</si>
  <si>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</si>
  <si>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</si>
  <si>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</si>
  <si>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</si>
  <si>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</si>
  <si>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</si>
  <si>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</si>
  <si>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</si>
  <si>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</si>
  <si>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</si>
  <si>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</si>
  <si>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</si>
  <si>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</si>
  <si>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</si>
  <si>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</si>
  <si>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</si>
  <si>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</si>
  <si>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</si>
  <si>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</si>
  <si>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</si>
  <si>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</si>
  <si>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</si>
  <si>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</si>
  <si>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</si>
  <si>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</si>
  <si>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</si>
  <si>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</si>
  <si>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</si>
  <si>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</si>
  <si>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</si>
  <si>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</si>
  <si>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</si>
  <si>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</si>
  <si>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</si>
  <si>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</si>
  <si>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</si>
  <si>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</si>
  <si>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</si>
  <si>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</si>
  <si>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</si>
  <si>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</si>
  <si>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</si>
  <si>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</si>
  <si>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</si>
  <si>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</si>
  <si>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</si>
  <si>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</si>
  <si>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</si>
  <si>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</si>
  <si>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</si>
  <si>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</si>
  <si>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</si>
  <si>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</si>
  <si>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</si>
  <si>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</si>
  <si>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</si>
  <si>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</si>
  <si>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</si>
  <si>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</si>
  <si>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</si>
  <si>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</si>
  <si>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</si>
  <si>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</si>
  <si>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</si>
  <si>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</si>
  <si>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</si>
  <si>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</si>
  <si>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</si>
  <si>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</si>
  <si>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</si>
  <si>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</si>
  <si>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</si>
  <si>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</si>
  <si>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</si>
  <si>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</si>
  <si>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</si>
  <si>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</si>
  <si>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</si>
  <si>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</si>
  <si>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</si>
  <si>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</si>
  <si>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</si>
  <si>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</si>
  <si>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</si>
  <si>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</si>
  <si>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</si>
  <si>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</si>
  <si>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</si>
  <si>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</si>
  <si>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</si>
  <si>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</si>
  <si>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</si>
  <si>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</si>
  <si>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</si>
  <si>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</si>
  <si>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</si>
  <si>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</si>
  <si>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</si>
  <si>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</si>
  <si>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</si>
  <si>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</si>
  <si>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</si>
  <si>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</si>
  <si>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</si>
  <si>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</si>
  <si>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</si>
  <si>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</si>
  <si>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</si>
  <si>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</si>
  <si>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</si>
  <si>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</si>
  <si>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</si>
  <si>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</si>
  <si>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</si>
  <si>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</si>
  <si>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</si>
  <si>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</si>
  <si>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</si>
  <si>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</si>
  <si>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</si>
  <si>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</si>
  <si>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</si>
  <si>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</si>
  <si>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</si>
  <si>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</si>
  <si>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</si>
  <si>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</si>
  <si>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</si>
  <si>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</si>
  <si>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</si>
  <si>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</si>
  <si>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</si>
  <si>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</si>
  <si>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</si>
  <si>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</si>
  <si>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</si>
  <si>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</si>
  <si>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</si>
  <si>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</si>
  <si>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</si>
  <si>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</si>
  <si>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</si>
  <si>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</si>
  <si>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</si>
  <si>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</si>
  <si>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</si>
  <si>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</si>
  <si>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</si>
  <si>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</si>
  <si>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</si>
  <si>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</si>
  <si>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</si>
  <si>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</si>
  <si>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</si>
  <si>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</si>
  <si>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</si>
  <si>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</si>
  <si>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</si>
  <si>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</si>
  <si>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</si>
  <si>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</si>
  <si>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</si>
  <si>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</si>
  <si>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</si>
  <si>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</si>
  <si>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</si>
  <si>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</si>
  <si>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</si>
  <si>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</si>
  <si>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</si>
  <si>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</si>
  <si>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</si>
  <si>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</si>
  <si>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</si>
  <si>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</si>
  <si>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</si>
  <si>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negocio 1 - Qual faturamento total de vendas de planos anuais (contando todas as assinaturas agregadas)</t>
  </si>
  <si>
    <t>Pergunta de negocio 2 - Qual faturamento total de vendas de planos anuais, separado por auto renovação ou sem auto renovação</t>
  </si>
  <si>
    <t>Soma de Total Value</t>
  </si>
  <si>
    <t>Total Geral</t>
  </si>
  <si>
    <t>Pergunta 3 - Total de vendas de Assinaturas do EA Play</t>
  </si>
  <si>
    <t>Soma de EA Play Season PassPrice</t>
  </si>
  <si>
    <t>XBOX GAME PASS SUBSCRIPTION SALES</t>
  </si>
  <si>
    <t>Total Subscriptions EA Play Season PassPrice</t>
  </si>
  <si>
    <t>Total Subscriptions EA Minecraft Season PassPrice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</si>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</sst>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rgb="FF9BC84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6"/>
      <name val="Aptos Narrow"/>
      <family val="2"/>
      <scheme val="minor"/>
    </font>
    <font>
      <b/>
      <sz val="18"/>
      <color theme="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6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5" fillId="3" borderId="0" xfId="0" applyFont="1" applyFill="1"/>
    <xf numFmtId="0" fontId="5" fillId="7" borderId="0" xfId="0" applyFont="1" applyFill="1"/>
    <xf numFmtId="0" fontId="5" fillId="0" borderId="0" xfId="0" applyFont="1"/>
    <xf numFmtId="44" fontId="5" fillId="0" borderId="0" xfId="0" applyNumberFormat="1" applyFont="1"/>
    <xf numFmtId="164" fontId="0" fillId="0" borderId="0" xfId="0" applyNumberFormat="1"/>
    <xf numFmtId="164" fontId="7" fillId="0" borderId="0" xfId="0" applyNumberFormat="1" applyFont="1" applyFill="1" applyAlignment="1">
      <alignment horizontal="center"/>
    </xf>
    <xf numFmtId="44" fontId="7" fillId="0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colors>
    <mruColors>
      <color rgb="FF9BC848"/>
      <color rgb="FFE8E6E9"/>
      <color rgb="FF22C55E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EA72E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4EA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4-4545-9337-90DB833AF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7635335"/>
        <c:axId val="1177642503"/>
      </c:barChart>
      <c:catAx>
        <c:axId val="1177635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42503"/>
        <c:crosses val="autoZero"/>
        <c:auto val="1"/>
        <c:lblAlgn val="ctr"/>
        <c:lblOffset val="100"/>
        <c:noMultiLvlLbl val="0"/>
      </c:catAx>
      <c:valAx>
        <c:axId val="11776425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77635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[805d54f9-6d53-4246-bed7-4aa2da615923.xlsx]D̳ashboard!Tabela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96B2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Subscriptions Xbox Game Pass</a:t>
            </a:r>
          </a:p>
        </c:rich>
      </c:tx>
      <c:overlay val="0"/>
      <c:spPr>
        <a:solidFill>
          <a:srgbClr val="92D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96B2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EA72E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D̳ashboard!$W$3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cat>
            <c:strRef>
              <c:f>D̳ashboard!$V$4:$V$6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D̳ashboard!$W$4:$W$6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4-416A-82F9-94EBFB126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2836999"/>
        <c:axId val="1351221255"/>
      </c:barChart>
      <c:catAx>
        <c:axId val="1282836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21255"/>
        <c:crosses val="autoZero"/>
        <c:auto val="1"/>
        <c:lblAlgn val="ctr"/>
        <c:lblOffset val="100"/>
        <c:noMultiLvlLbl val="0"/>
      </c:catAx>
      <c:valAx>
        <c:axId val="135122125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82836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123825</xdr:colOff>
      <xdr:row>27</xdr:row>
      <xdr:rowOff>152399</xdr:rowOff>
    </xdr:from>
    <xdr:to>
      <xdr:col>3</xdr:col>
      <xdr:colOff>454101</xdr:colOff>
      <xdr:row>31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733425" y="54482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  <a:ext uri="{147F2762-F138-4A5C-976F-8EAC2B608ADB}">
              <a16:predDERef xmlns:a16="http://schemas.microsoft.com/office/drawing/2014/main" pre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447675</xdr:colOff>
      <xdr:row>6</xdr:row>
      <xdr:rowOff>9525</xdr:rowOff>
    </xdr:from>
    <xdr:to>
      <xdr:col>9</xdr:col>
      <xdr:colOff>219075</xdr:colOff>
      <xdr:row>19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F445ED-B604-06C7-9ABF-3C6E7CF72ED4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114300</xdr:colOff>
      <xdr:row>5</xdr:row>
      <xdr:rowOff>180975</xdr:rowOff>
    </xdr:from>
    <xdr:to>
      <xdr:col>3</xdr:col>
      <xdr:colOff>1943100</xdr:colOff>
      <xdr:row>12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B92CF72F-6D90-B7C0-8CDB-322754CE3A9B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0" y="1762125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0</xdr:rowOff>
    </xdr:from>
    <xdr:to>
      <xdr:col>0</xdr:col>
      <xdr:colOff>1681572</xdr:colOff>
      <xdr:row>1</xdr:row>
      <xdr:rowOff>461773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356427-A611-44A9-88D0-F72E6A283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90500"/>
          <a:ext cx="1500597" cy="461773"/>
        </a:xfrm>
        <a:prstGeom prst="rect">
          <a:avLst/>
        </a:prstGeom>
      </xdr:spPr>
    </xdr:pic>
    <xdr:clientData/>
  </xdr:twoCellAnchor>
  <xdr:twoCellAnchor>
    <xdr:from>
      <xdr:col>2</xdr:col>
      <xdr:colOff>390525</xdr:colOff>
      <xdr:row>10</xdr:row>
      <xdr:rowOff>133350</xdr:rowOff>
    </xdr:from>
    <xdr:to>
      <xdr:col>9</xdr:col>
      <xdr:colOff>314325</xdr:colOff>
      <xdr:row>25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CBF2C71-53E3-BA3F-40C1-328947163B37}"/>
            </a:ext>
            <a:ext uri="{147F2762-F138-4A5C-976F-8EAC2B608ADB}">
              <a16:predDERef xmlns:a16="http://schemas.microsoft.com/office/drawing/2014/main" pred="{9B356427-A611-44A9-88D0-F72E6A283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28575</xdr:colOff>
      <xdr:row>6</xdr:row>
      <xdr:rowOff>9525</xdr:rowOff>
    </xdr:from>
    <xdr:to>
      <xdr:col>0</xdr:col>
      <xdr:colOff>1857375</xdr:colOff>
      <xdr:row>11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 1">
              <a:extLst>
                <a:ext uri="{FF2B5EF4-FFF2-40B4-BE49-F238E27FC236}">
                  <a16:creationId xmlns:a16="http://schemas.microsoft.com/office/drawing/2014/main" id="{F0BD5BB4-9428-9069-4FFF-47CDF9CB4DC3}"/>
                </a:ext>
                <a:ext uri="{147F2762-F138-4A5C-976F-8EAC2B608ADB}">
                  <a16:predDERef xmlns:a16="http://schemas.microsoft.com/office/drawing/2014/main" pred="{CCBF2C71-53E3-BA3F-40C1-328947163B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228725"/>
              <a:ext cx="182880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323850</xdr:colOff>
      <xdr:row>4</xdr:row>
      <xdr:rowOff>123825</xdr:rowOff>
    </xdr:from>
    <xdr:to>
      <xdr:col>3</xdr:col>
      <xdr:colOff>428625</xdr:colOff>
      <xdr:row>10</xdr:row>
      <xdr:rowOff>19050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EAF24FC-8B02-4ABE-97C1-3EB63D98B249}"/>
            </a:ext>
            <a:ext uri="{147F2762-F138-4A5C-976F-8EAC2B608ADB}">
              <a16:predDERef xmlns:a16="http://schemas.microsoft.com/office/drawing/2014/main" pred="{F0BD5BB4-9428-9069-4FFF-47CDF9CB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0965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6</xdr:row>
      <xdr:rowOff>9525</xdr:rowOff>
    </xdr:from>
    <xdr:to>
      <xdr:col>8</xdr:col>
      <xdr:colOff>400050</xdr:colOff>
      <xdr:row>8</xdr:row>
      <xdr:rowOff>85725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A7245E4-5132-F565-E520-72DD38BF8AB8}"/>
            </a:ext>
            <a:ext uri="{147F2762-F138-4A5C-976F-8EAC2B608ADB}">
              <a16:predDERef xmlns:a16="http://schemas.microsoft.com/office/drawing/2014/main" pred="{2EAF24FC-8B02-4ABE-97C1-3EB63D98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50" y="1228725"/>
          <a:ext cx="1390650" cy="685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8.696488541667" createdVersion="8" refreshedVersion="8" minRefreshableVersion="3" recordCount="295" xr:uid="{9FDA05E0-BBD8-4AF2-B946-27888EE16E9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156606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9DE55-60E9-4E37-8D68-2984F562C1E8}" name="Tabela dinâmica4" cacheId="3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7">
  <location ref="B25:C29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D4DE9-CB18-4D52-82FC-440039C7E571}" name="Tabela dinâmica1" cacheId="3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7">
  <location ref="B9:C12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08069-4BB6-48DC-854B-90DF85CFE6A3}" name="Tabela dinâmica6" cacheId="3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V26:W30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37373-9226-4472-A12E-9658FFE9509F}" name="Tabela dinâmica5" cacheId="3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V17:W21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Price" fld="8" baseField="8" baseItem="0" numFmtId="164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7860F-8891-48D8-86D4-9E820F589594}" name="Tabela dinâmica3" cacheId="3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V3:W6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2">
    <format dxfId="14">
      <pivotArea grandRow="1" outline="0" collapsedLevelsAreSubtotals="1" fieldPosition="0"/>
    </format>
    <format dxfId="1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127441F-B716-4757-BC50-CE50F41BAC0C}" sourceName="Subscription Type">
  <pivotTables>
    <pivotTable tabId="3" name="Tabela dinâmica1"/>
    <pivotTable tabId="3" name="Tabela dinâmica4"/>
  </pivotTables>
  <data>
    <tabular pivotCacheId="1515660620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D65842F4-C28F-486D-99B7-DA325AA72921}" sourceName="Subscription Type">
  <pivotTables>
    <pivotTable tabId="4" name="Tabela dinâmica3"/>
    <pivotTable tabId="4" name="Tabela dinâmica5"/>
    <pivotTable tabId="4" name="Tabela dinâmica6"/>
  </pivotTables>
  <data>
    <tabular pivotCacheId="151566062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F3AEE33-9E5F-4225-88AF-934A47B9FF53}" cache="SegmentaçãodeDados_Subscription_Type" caption="Subscription Type" style="SlicerStyleLight6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4DEE3EB9-A5F9-46F8-B498-9D455699BADA}" cache="SegmentaçãodeDados_Subscription_Type1" caption="Subscription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2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9" zoomScaleNormal="100" workbookViewId="0">
      <selection activeCell="H35" sqref="H35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29"/>
  <sheetViews>
    <sheetView showGridLines="0" topLeftCell="A15" workbookViewId="0">
      <selection activeCell="B33" sqref="B33"/>
    </sheetView>
  </sheetViews>
  <sheetFormatPr defaultRowHeight="15"/>
  <cols>
    <col min="2" max="2" width="16" bestFit="1" customWidth="1"/>
    <col min="3" max="4" width="31.42578125" bestFit="1" customWidth="1"/>
    <col min="5" max="5" width="35.425781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ht="39.75" customHeight="1">
      <c r="B2" s="14" t="s">
        <v>313</v>
      </c>
      <c r="C2" s="14"/>
      <c r="D2" s="14"/>
      <c r="E2" s="14"/>
    </row>
    <row r="4" spans="2:5" ht="39.75" customHeight="1">
      <c r="B4" s="14" t="s">
        <v>314</v>
      </c>
      <c r="C4" s="14"/>
      <c r="D4" s="14"/>
      <c r="E4" s="14"/>
    </row>
    <row r="7" spans="2:5">
      <c r="B7" s="12" t="s">
        <v>17</v>
      </c>
      <c r="C7" t="s">
        <v>31</v>
      </c>
    </row>
    <row r="8" spans="2:5">
      <c r="C8">
        <f>C̳álculos!E29</f>
        <v>600</v>
      </c>
    </row>
    <row r="9" spans="2:5">
      <c r="B9" s="12" t="s">
        <v>15</v>
      </c>
      <c r="C9" t="s">
        <v>315</v>
      </c>
    </row>
    <row r="10" spans="2:5">
      <c r="B10" t="s">
        <v>30</v>
      </c>
      <c r="C10" s="13">
        <v>217</v>
      </c>
    </row>
    <row r="11" spans="2:5">
      <c r="B11" t="s">
        <v>26</v>
      </c>
      <c r="C11" s="13">
        <v>1537</v>
      </c>
    </row>
    <row r="12" spans="2:5">
      <c r="B12" t="s">
        <v>316</v>
      </c>
      <c r="C12" s="13">
        <v>1754</v>
      </c>
    </row>
    <row r="21" spans="2:5">
      <c r="B21" s="15" t="s">
        <v>317</v>
      </c>
      <c r="C21" s="15"/>
      <c r="D21" s="15"/>
      <c r="E21" s="15"/>
    </row>
    <row r="23" spans="2:5">
      <c r="B23" s="12" t="s">
        <v>17</v>
      </c>
      <c r="C23" t="s">
        <v>31</v>
      </c>
    </row>
    <row r="25" spans="2:5">
      <c r="B25" s="12" t="s">
        <v>13</v>
      </c>
      <c r="C25" t="s">
        <v>318</v>
      </c>
    </row>
    <row r="26" spans="2:5">
      <c r="B26" t="s">
        <v>29</v>
      </c>
      <c r="C26" s="16">
        <v>0</v>
      </c>
    </row>
    <row r="27" spans="2:5">
      <c r="B27" t="s">
        <v>34</v>
      </c>
      <c r="C27" s="16">
        <v>0</v>
      </c>
    </row>
    <row r="28" spans="2:5">
      <c r="B28" t="s">
        <v>25</v>
      </c>
      <c r="C28" s="16">
        <v>600</v>
      </c>
    </row>
    <row r="29" spans="2:5">
      <c r="B29" t="s">
        <v>316</v>
      </c>
      <c r="C29" s="16">
        <v>600</v>
      </c>
      <c r="E29">
        <f>C29</f>
        <v>600</v>
      </c>
    </row>
  </sheetData>
  <mergeCells count="3">
    <mergeCell ref="B4:E4"/>
    <mergeCell ref="B2:E2"/>
    <mergeCell ref="B21:E21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40"/>
  <sheetViews>
    <sheetView showGridLines="0" tabSelected="1" zoomScale="80" zoomScaleNormal="80" workbookViewId="0">
      <selection activeCell="L12" sqref="L12"/>
    </sheetView>
  </sheetViews>
  <sheetFormatPr defaultRowHeight="15"/>
  <cols>
    <col min="1" max="1" width="29.140625" style="3" customWidth="1"/>
    <col min="2" max="2" width="3.5703125" customWidth="1"/>
    <col min="3" max="4" width="16.7109375" customWidth="1"/>
    <col min="5" max="6" width="9.28515625" customWidth="1"/>
    <col min="8" max="8" width="16.7109375" customWidth="1"/>
    <col min="9" max="9" width="10.7109375" customWidth="1"/>
    <col min="10" max="10" width="9.28515625" customWidth="1"/>
    <col min="14" max="14" width="6.5703125" customWidth="1"/>
    <col min="22" max="22" width="16" bestFit="1" customWidth="1"/>
    <col min="23" max="23" width="33.85546875" bestFit="1" customWidth="1"/>
    <col min="24" max="24" width="33.85546875" customWidth="1"/>
    <col min="25" max="25" width="35.42578125" bestFit="1" customWidth="1"/>
  </cols>
  <sheetData>
    <row r="1" spans="1:23">
      <c r="V1" s="12" t="s">
        <v>17</v>
      </c>
      <c r="W1" t="s">
        <v>31</v>
      </c>
    </row>
    <row r="2" spans="1:23" ht="39" customHeight="1">
      <c r="C2" s="25" t="s">
        <v>319</v>
      </c>
      <c r="D2" s="25"/>
      <c r="E2" s="25"/>
      <c r="F2" s="25"/>
      <c r="G2" s="25"/>
      <c r="H2" s="25"/>
      <c r="I2" s="25"/>
      <c r="J2" s="25"/>
      <c r="K2" s="25"/>
      <c r="L2" s="25"/>
    </row>
    <row r="3" spans="1:23" ht="8.25" customHeight="1">
      <c r="V3" s="12" t="s">
        <v>15</v>
      </c>
      <c r="W3" t="s">
        <v>315</v>
      </c>
    </row>
    <row r="4" spans="1:23" ht="7.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V4" t="s">
        <v>30</v>
      </c>
      <c r="W4" s="13">
        <v>217</v>
      </c>
    </row>
    <row r="5" spans="1:23" ht="10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t="s">
        <v>26</v>
      </c>
      <c r="W5" s="13">
        <v>1537</v>
      </c>
    </row>
    <row r="6" spans="1:23" s="20" customFormat="1" ht="15.75" customHeight="1">
      <c r="A6" s="18"/>
      <c r="B6" s="19"/>
      <c r="C6" s="26" t="s">
        <v>320</v>
      </c>
      <c r="D6" s="26"/>
      <c r="E6" s="26"/>
      <c r="F6" s="26"/>
      <c r="G6" s="19"/>
      <c r="H6" s="27" t="s">
        <v>321</v>
      </c>
      <c r="I6" s="27"/>
      <c r="J6" s="27"/>
      <c r="K6" s="27"/>
      <c r="L6" s="27"/>
      <c r="M6" s="19"/>
      <c r="N6" s="19"/>
      <c r="O6" s="19"/>
      <c r="P6" s="19"/>
      <c r="Q6" s="19"/>
      <c r="R6" s="19"/>
      <c r="S6" s="19"/>
      <c r="T6" s="19"/>
      <c r="V6" s="20" t="s">
        <v>316</v>
      </c>
      <c r="W6" s="21">
        <v>1754</v>
      </c>
    </row>
    <row r="7" spans="1:23" ht="33" customHeight="1">
      <c r="B7" s="7"/>
      <c r="C7" s="17"/>
      <c r="D7" s="17"/>
      <c r="E7" s="23">
        <f>W21</f>
        <v>600</v>
      </c>
      <c r="F7" s="23"/>
      <c r="G7" s="7"/>
      <c r="H7" s="17"/>
      <c r="I7" s="17"/>
      <c r="K7" s="24">
        <f>W30</f>
        <v>940</v>
      </c>
      <c r="L7" s="24"/>
      <c r="M7" s="7"/>
      <c r="N7" s="7"/>
      <c r="O7" s="7"/>
      <c r="P7" s="7"/>
      <c r="Q7" s="7"/>
      <c r="R7" s="7"/>
      <c r="S7" s="7"/>
      <c r="T7" s="7"/>
    </row>
    <row r="8" spans="1:23">
      <c r="B8" s="7"/>
      <c r="C8" s="17"/>
      <c r="D8" s="17"/>
      <c r="E8" s="23"/>
      <c r="F8" s="23"/>
      <c r="G8" s="7"/>
      <c r="H8" s="17"/>
      <c r="I8" s="17"/>
      <c r="J8" s="17"/>
      <c r="K8" s="24"/>
      <c r="L8" s="24"/>
      <c r="M8" s="7"/>
      <c r="N8" s="7"/>
      <c r="O8" s="7"/>
      <c r="P8" s="7"/>
      <c r="Q8" s="7"/>
      <c r="R8" s="7"/>
      <c r="S8" s="7"/>
      <c r="T8" s="7"/>
    </row>
    <row r="9" spans="1:23">
      <c r="B9" s="7"/>
      <c r="C9" s="17"/>
      <c r="D9" s="17"/>
      <c r="E9" s="17"/>
      <c r="F9" s="17"/>
      <c r="G9" s="7"/>
      <c r="H9" s="17"/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</row>
    <row r="10" spans="1:2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V15" s="12" t="s">
        <v>17</v>
      </c>
      <c r="W15" t="s">
        <v>31</v>
      </c>
    </row>
    <row r="16" spans="1:2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2:2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V17" s="12" t="s">
        <v>13</v>
      </c>
      <c r="W17" t="s">
        <v>318</v>
      </c>
    </row>
    <row r="18" spans="2:2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V18" t="s">
        <v>29</v>
      </c>
      <c r="W18" s="22">
        <v>0</v>
      </c>
    </row>
    <row r="19" spans="2:24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V19" t="s">
        <v>34</v>
      </c>
      <c r="W19" s="22">
        <v>0</v>
      </c>
    </row>
    <row r="20" spans="2:24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V20" t="s">
        <v>25</v>
      </c>
      <c r="W20" s="22">
        <v>600</v>
      </c>
    </row>
    <row r="21" spans="2:24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V21" t="s">
        <v>316</v>
      </c>
      <c r="W21" s="22">
        <v>600</v>
      </c>
      <c r="X21" s="22">
        <f>W21</f>
        <v>600</v>
      </c>
    </row>
    <row r="22" spans="2:24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4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2:2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V24" s="12" t="s">
        <v>17</v>
      </c>
      <c r="W24" t="s">
        <v>31</v>
      </c>
    </row>
    <row r="25" spans="2:24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2:24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V26" s="12" t="s">
        <v>13</v>
      </c>
      <c r="W26" t="s">
        <v>322</v>
      </c>
    </row>
    <row r="27" spans="2:24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V27" t="s">
        <v>29</v>
      </c>
      <c r="W27" s="13">
        <v>0</v>
      </c>
    </row>
    <row r="28" spans="2:24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V28" t="s">
        <v>34</v>
      </c>
      <c r="W28" s="13">
        <v>540</v>
      </c>
    </row>
    <row r="29" spans="2:24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V29" t="s">
        <v>25</v>
      </c>
      <c r="W29" s="13">
        <v>400</v>
      </c>
    </row>
    <row r="30" spans="2:24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V30" t="s">
        <v>316</v>
      </c>
      <c r="W30" s="13">
        <v>940</v>
      </c>
      <c r="X30" s="13">
        <f>W30</f>
        <v>940</v>
      </c>
    </row>
    <row r="31" spans="2:24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2:24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2:20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2:20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2:20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2:20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2:20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2:20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2:20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2:20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</sheetData>
  <mergeCells count="5">
    <mergeCell ref="C2:L2"/>
    <mergeCell ref="H6:L6"/>
    <mergeCell ref="E7:F8"/>
    <mergeCell ref="K7:L8"/>
    <mergeCell ref="C6:F6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2026-06-05T22:18:15Z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